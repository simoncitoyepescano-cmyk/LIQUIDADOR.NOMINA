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A3BB8164-197A-48AA-A457-8855D7848E5D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Casos de Prueb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3" i="1" l="1"/>
  <c r="H14" i="1"/>
  <c r="H12" i="1"/>
  <c r="H9" i="1"/>
  <c r="H8" i="1"/>
  <c r="H7" i="1"/>
  <c r="E13" i="1"/>
  <c r="E14" i="1"/>
  <c r="E8" i="1"/>
  <c r="F14" i="1"/>
  <c r="F13" i="1"/>
  <c r="F12" i="1"/>
  <c r="G12" i="1"/>
  <c r="F8" i="1"/>
  <c r="F9" i="1"/>
  <c r="F7" i="1"/>
  <c r="G7" i="1"/>
  <c r="D20" i="1"/>
  <c r="D19" i="1"/>
  <c r="D18" i="1"/>
  <c r="G18" i="1" s="1"/>
  <c r="D17" i="1"/>
  <c r="D14" i="1"/>
  <c r="D13" i="1"/>
  <c r="D12" i="1"/>
  <c r="D9" i="1"/>
  <c r="D8" i="1"/>
  <c r="D7" i="1"/>
  <c r="H18" i="1" l="1"/>
  <c r="H20" i="1"/>
  <c r="G20" i="1"/>
  <c r="H19" i="1"/>
  <c r="G19" i="1"/>
  <c r="H17" i="1"/>
  <c r="G17" i="1"/>
  <c r="G14" i="1"/>
  <c r="G13" i="1"/>
  <c r="G9" i="1"/>
  <c r="G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3" authorId="0" shapeId="0" xr:uid="{00000000-0006-0000-0000-000001000000}">
      <text>
        <r>
          <rPr>
            <sz val="10"/>
            <rFont val="Arial"/>
            <family val="2"/>
          </rPr>
          <t>Valor de referencia (ajustar según el Decreto oficial del SMLV vigente para el año que se esté liquidando). No se pudo confirmar el valor oficial 2026 en este ejercicio; se usa como parámetro editable para las fórmulas.</t>
        </r>
      </text>
    </comment>
  </commentList>
</comments>
</file>

<file path=xl/sharedStrings.xml><?xml version="1.0" encoding="utf-8"?>
<sst xmlns="http://schemas.openxmlformats.org/spreadsheetml/2006/main" count="35" uniqueCount="35">
  <si>
    <t>Liquidador de Nómina - Casos de Prueba</t>
  </si>
  <si>
    <t>Parámetros</t>
  </si>
  <si>
    <t>ENTRADAS</t>
  </si>
  <si>
    <t>SALIDAS</t>
  </si>
  <si>
    <t>SMLV Referencia</t>
  </si>
  <si>
    <t>Caso</t>
  </si>
  <si>
    <t>Salario Mensual</t>
  </si>
  <si>
    <t>Días Trabajados</t>
  </si>
  <si>
    <t>Salario Quincenal Bruto</t>
  </si>
  <si>
    <t>Salario Neto a Pagar</t>
  </si>
  <si>
    <t>Días máx. quincena</t>
  </si>
  <si>
    <t>Casos Normales</t>
  </si>
  <si>
    <t>Días del mes (base)</t>
  </si>
  <si>
    <t>Caso Normal 1 - Quincena completa</t>
  </si>
  <si>
    <t>Caso Normal 2 - Salario bajo, quincena completa</t>
  </si>
  <si>
    <t>Nota: 'Días trabajados' se refiere a los días laborados dentro de la quincena que se está liquidando (1 a 15). Si el ingreso del empleado fue a mitad de periodo, los días trabajados son los días reales desde la fecha de ingreso hasta el cierre de la quincena.</t>
  </si>
  <si>
    <t>Caso Normal 3 - Salario alto, quincena completa</t>
  </si>
  <si>
    <t>Casos Extraordinarios</t>
  </si>
  <si>
    <t>Ingreso a mitad de quincena (8 días)</t>
  </si>
  <si>
    <t>Un solo día trabajado</t>
  </si>
  <si>
    <t>Salario exacto en el SMLV</t>
  </si>
  <si>
    <t>Casos de Error</t>
  </si>
  <si>
    <t>Error Salario Cero</t>
  </si>
  <si>
    <t>Error Salario Menor al SMLV</t>
  </si>
  <si>
    <t>Error Días en Cero</t>
  </si>
  <si>
    <t>Error Días Excedidos (&gt; 15)</t>
  </si>
  <si>
    <t>nota: cuando una persona gana mas de 4 minimos y paga solidaridad</t>
  </si>
  <si>
    <t>nota:cuando alguien gana mas de 10 salarios integral</t>
  </si>
  <si>
    <t>nota:cuando alguien gana 2 salarios minimos o menos auxilio de trasporte</t>
  </si>
  <si>
    <t>% Deducción ( Pensión)</t>
  </si>
  <si>
    <t>% Deduccion salud</t>
  </si>
  <si>
    <t xml:space="preserve">Auxilio de transporte </t>
  </si>
  <si>
    <t>Deducciones salud (4%)</t>
  </si>
  <si>
    <t>Deduccion pension (4%)</t>
  </si>
  <si>
    <t>Nota:Él auxilio de trasnporte se tomo como referencia a partir de el salario escogido como SMLV antriormente 1.300.000 de salario  y  162.000 de auxilio de trasnporte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</si>
</sst>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\$#,##0"/>
    <numFmt numFmtId="165" formatCode="\$#,##0.00;[Red]&quot;-$&quot;#,##0.00;General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b/>
      <sz val="12"/>
      <name val="Arial"/>
      <charset val="1"/>
    </font>
    <font>
      <sz val="11"/>
      <name val="Arial"/>
      <charset val="1"/>
    </font>
    <font>
      <i/>
      <sz val="9"/>
      <color rgb="FF808080"/>
      <name val="Arial"/>
      <charset val="1"/>
    </font>
    <font>
      <sz val="10"/>
      <name val="Arial"/>
      <family val="2"/>
    </font>
    <font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B4C6E7"/>
        <bgColor rgb="FFBFBFBF"/>
      </patternFill>
    </fill>
    <fill>
      <patternFill patternType="solid">
        <fgColor rgb="FFC6E0B4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22">
    <xf numFmtId="0" fontId="0" fillId="0" borderId="0" xfId="0"/>
    <xf numFmtId="0" fontId="4" fillId="0" borderId="1" xfId="0" applyFont="1" applyBorder="1"/>
    <xf numFmtId="164" fontId="4" fillId="5" borderId="1" xfId="0" applyNumberFormat="1" applyFont="1" applyFill="1" applyBorder="1"/>
    <xf numFmtId="0" fontId="2" fillId="0" borderId="1" xfId="0" applyFont="1" applyBorder="1" applyAlignment="1">
      <alignment horizontal="center" vertical="center" wrapText="1"/>
    </xf>
    <xf numFmtId="9" fontId="4" fillId="5" borderId="1" xfId="0" applyNumberFormat="1" applyFont="1" applyFill="1" applyBorder="1"/>
    <xf numFmtId="0" fontId="4" fillId="5" borderId="1" xfId="0" applyFont="1" applyFill="1" applyBorder="1"/>
    <xf numFmtId="0" fontId="4" fillId="0" borderId="1" xfId="0" applyFont="1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0" fontId="5" fillId="0" borderId="0" xfId="0" applyFont="1" applyAlignment="1">
      <alignment vertical="top" wrapText="1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0" borderId="2" xfId="0" applyFont="1" applyFill="1" applyBorder="1"/>
    <xf numFmtId="9" fontId="0" fillId="6" borderId="0" xfId="0" applyNumberFormat="1" applyFill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44" fontId="0" fillId="0" borderId="1" xfId="1" applyFont="1" applyBorder="1" applyAlignment="1">
      <alignment horizontal="right" vertical="center"/>
    </xf>
    <xf numFmtId="0" fontId="0" fillId="0" borderId="0" xfId="0" applyAlignment="1">
      <alignment horizont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="75" zoomScaleNormal="145" workbookViewId="0">
      <pane ySplit="4" topLeftCell="A5" activePane="bottomLeft" state="frozen"/>
      <selection pane="bottomLeft" activeCell="D25" sqref="D25"/>
    </sheetView>
  </sheetViews>
  <sheetFormatPr baseColWidth="10" defaultColWidth="8.6640625" defaultRowHeight="14.4" x14ac:dyDescent="0.3"/>
  <cols>
    <col min="1" max="1" width="26" customWidth="1"/>
    <col min="2" max="2" width="20" customWidth="1"/>
    <col min="3" max="3" width="16" customWidth="1"/>
    <col min="4" max="6" width="24" customWidth="1"/>
    <col min="7" max="8" width="22" customWidth="1"/>
    <col min="9" max="9" width="3" customWidth="1"/>
    <col min="10" max="10" width="30" customWidth="1"/>
    <col min="11" max="11" width="16" customWidth="1"/>
  </cols>
  <sheetData>
    <row r="1" spans="1:11" ht="17.399999999999999" x14ac:dyDescent="0.3">
      <c r="A1" s="12" t="s">
        <v>0</v>
      </c>
      <c r="B1" s="12"/>
      <c r="C1" s="12"/>
      <c r="D1" s="12"/>
      <c r="E1" s="12"/>
      <c r="F1" s="12"/>
      <c r="G1" s="12"/>
      <c r="H1" s="12"/>
    </row>
    <row r="2" spans="1:11" ht="15" customHeight="1" x14ac:dyDescent="0.3">
      <c r="J2" s="13" t="s">
        <v>1</v>
      </c>
      <c r="K2" s="13"/>
    </row>
    <row r="3" spans="1:11" ht="28.2" customHeight="1" x14ac:dyDescent="0.3">
      <c r="B3" s="14" t="s">
        <v>2</v>
      </c>
      <c r="C3" s="14"/>
      <c r="D3" s="15" t="s">
        <v>3</v>
      </c>
      <c r="E3" s="15"/>
      <c r="F3" s="15"/>
      <c r="G3" s="15"/>
      <c r="H3" s="15"/>
      <c r="J3" s="1" t="s">
        <v>4</v>
      </c>
      <c r="K3" s="2">
        <v>1300000</v>
      </c>
    </row>
    <row r="4" spans="1:11" ht="27.6" x14ac:dyDescent="0.3">
      <c r="A4" s="3" t="s">
        <v>5</v>
      </c>
      <c r="B4" s="3" t="s">
        <v>6</v>
      </c>
      <c r="C4" s="3" t="s">
        <v>7</v>
      </c>
      <c r="D4" s="3" t="s">
        <v>8</v>
      </c>
      <c r="E4" s="18" t="s">
        <v>31</v>
      </c>
      <c r="F4" s="19" t="s">
        <v>32</v>
      </c>
      <c r="G4" s="3" t="s">
        <v>33</v>
      </c>
      <c r="H4" s="3" t="s">
        <v>9</v>
      </c>
      <c r="J4" s="1" t="s">
        <v>29</v>
      </c>
      <c r="K4" s="4">
        <v>0.04</v>
      </c>
    </row>
    <row r="5" spans="1:11" x14ac:dyDescent="0.3">
      <c r="J5" s="1" t="s">
        <v>10</v>
      </c>
      <c r="K5" s="5">
        <v>15</v>
      </c>
    </row>
    <row r="6" spans="1:11" x14ac:dyDescent="0.3">
      <c r="A6" s="11" t="s">
        <v>11</v>
      </c>
      <c r="B6" s="11"/>
      <c r="C6" s="11"/>
      <c r="D6" s="11"/>
      <c r="E6" s="11"/>
      <c r="F6" s="11"/>
      <c r="G6" s="11"/>
      <c r="H6" s="11"/>
      <c r="J6" s="1" t="s">
        <v>12</v>
      </c>
      <c r="K6" s="5">
        <v>30</v>
      </c>
    </row>
    <row r="7" spans="1:11" x14ac:dyDescent="0.3">
      <c r="A7" s="6" t="s">
        <v>13</v>
      </c>
      <c r="B7" s="7">
        <v>3500000</v>
      </c>
      <c r="C7" s="8">
        <v>15</v>
      </c>
      <c r="D7" s="9">
        <f>IF(B7&lt;=0,"ERROR: El salario debe ser mayor que cero",IF(B7&lt;$K$3,"ERROR: El salario no puede ser inferior al salario mínimo legal vigente (SMLV)",IF(OR(C7&lt;=0,C7&gt;$K$5),"ERROR: Los días trabajados deben estar entre 1 y "&amp;$K$5,ROUND(B7/$K$6*C7,2))))</f>
        <v>1750000</v>
      </c>
      <c r="E7" s="20">
        <v>0</v>
      </c>
      <c r="F7" s="9">
        <f>IF(ISNUMBER(D7),ROUND(D7*$K$7,2),"")</f>
        <v>70000</v>
      </c>
      <c r="G7" s="9">
        <f>IF(ISNUMBER(D7),ROUND(D7*$K$4,2),"")</f>
        <v>70000</v>
      </c>
      <c r="H7" s="9">
        <f>IF(ISNUMBER(D7),ROUND(D7+E7-F7-G7,2),"")</f>
        <v>1610000</v>
      </c>
      <c r="J7" s="16" t="s">
        <v>30</v>
      </c>
      <c r="K7" s="17">
        <v>0.04</v>
      </c>
    </row>
    <row r="8" spans="1:11" ht="15" customHeight="1" x14ac:dyDescent="0.3">
      <c r="A8" s="6" t="s">
        <v>14</v>
      </c>
      <c r="B8" s="7">
        <v>2000000</v>
      </c>
      <c r="C8" s="8">
        <v>15</v>
      </c>
      <c r="D8" s="9">
        <f>IF(B8&lt;=0,"ERROR: El salario debe ser mayor que cero",IF(B8&lt;$K$3,"ERROR: El salario no puede ser inferior al salario mínimo legal vigente (SMLV)",IF(OR(C8&lt;=0,C8&gt;$K$5),"ERROR: Los días trabajados deben estar entre 1 y "&amp;$K$5,ROUND(B8/$K$6*C8,2))))</f>
        <v>1000000</v>
      </c>
      <c r="E8" s="9">
        <f t="shared" ref="E8:E9" si="0">(162000/30)*C8</f>
        <v>81000</v>
      </c>
      <c r="F8" s="9">
        <f t="shared" ref="F8:F9" si="1">IF(ISNUMBER(D8),ROUND(D8*$K$7,2),"")</f>
        <v>40000</v>
      </c>
      <c r="G8" s="9">
        <f>IF(ISNUMBER(D8),ROUND(D8*$K$4,2),"")</f>
        <v>40000</v>
      </c>
      <c r="H8" s="9">
        <f t="shared" ref="H8:H9" si="2">IF(ISNUMBER(D8),ROUND(D8+E8-F8-G8,2),"")</f>
        <v>1001000</v>
      </c>
      <c r="J8" s="10" t="s">
        <v>15</v>
      </c>
      <c r="K8" s="10"/>
    </row>
    <row r="9" spans="1:11" x14ac:dyDescent="0.3">
      <c r="A9" s="6" t="s">
        <v>16</v>
      </c>
      <c r="B9" s="7">
        <v>4800000</v>
      </c>
      <c r="C9" s="8">
        <v>15</v>
      </c>
      <c r="D9" s="9">
        <f>IF(B9&lt;=0,"ERROR: El salario debe ser mayor que cero",IF(B9&lt;$K$3,"ERROR: El salario no puede ser inferior al salario mínimo legal vigente (SMLV)",IF(OR(C9&lt;=0,C9&gt;$K$5),"ERROR: Los días trabajados deben estar entre 1 y "&amp;$K$5,ROUND(B9/$K$6*C9,2))))</f>
        <v>2400000</v>
      </c>
      <c r="E9" s="20">
        <v>0</v>
      </c>
      <c r="F9" s="9">
        <f t="shared" si="1"/>
        <v>96000</v>
      </c>
      <c r="G9" s="9">
        <f>IF(ISNUMBER(D9),ROUND(D9*$K$4,2),"")</f>
        <v>96000</v>
      </c>
      <c r="H9" s="9">
        <f>IF(ISNUMBER(D9),ROUND(D9+E9-F9-G9,2),"")</f>
        <v>2208000</v>
      </c>
      <c r="J9" s="10"/>
      <c r="K9" s="10"/>
    </row>
    <row r="10" spans="1:11" x14ac:dyDescent="0.3">
      <c r="J10" s="10"/>
      <c r="K10" s="10"/>
    </row>
    <row r="11" spans="1:11" x14ac:dyDescent="0.3">
      <c r="A11" s="11" t="s">
        <v>17</v>
      </c>
      <c r="B11" s="11"/>
      <c r="C11" s="11"/>
      <c r="D11" s="11"/>
      <c r="E11" s="11"/>
      <c r="F11" s="11"/>
      <c r="G11" s="11"/>
      <c r="H11" s="11"/>
      <c r="J11" s="10"/>
      <c r="K11" s="10"/>
    </row>
    <row r="12" spans="1:11" x14ac:dyDescent="0.3">
      <c r="A12" s="6" t="s">
        <v>18</v>
      </c>
      <c r="B12" s="7">
        <v>3500000</v>
      </c>
      <c r="C12" s="8">
        <v>8</v>
      </c>
      <c r="D12" s="9">
        <f>IF(B12&lt;=0,"ERROR: El salario debe ser mayor que cero",IF(B12&lt;$K$3,"ERROR: El salario no puede ser inferior al salario mínimo legal vigente (SMLV)",IF(OR(C12&lt;=0,C12&gt;$K$5),"ERROR: Los días trabajados deben estar entre 1 y "&amp;$K$5,ROUND(B12/$K$6*C12,2))))</f>
        <v>933333.33</v>
      </c>
      <c r="E12" s="20">
        <v>0</v>
      </c>
      <c r="F12" s="9">
        <f>IF(ISNUMBER(D12),ROUND(D12*$K$7,2),"")</f>
        <v>37333.33</v>
      </c>
      <c r="G12" s="9">
        <f>IF(ISNUMBER(D12),ROUND(D12*$K$4,2),"")</f>
        <v>37333.33</v>
      </c>
      <c r="H12" s="9">
        <f>IF(ISNUMBER(D12),ROUND(D12+E12-F12-G12,2),"")</f>
        <v>858666.67</v>
      </c>
      <c r="J12" s="10"/>
      <c r="K12" s="10"/>
    </row>
    <row r="13" spans="1:11" x14ac:dyDescent="0.3">
      <c r="A13" s="6" t="s">
        <v>19</v>
      </c>
      <c r="B13" s="7">
        <v>1300000</v>
      </c>
      <c r="C13" s="8">
        <v>1</v>
      </c>
      <c r="D13" s="9">
        <f>IF(B13&lt;=0,"ERROR: El salario debe ser mayor que cero",IF(B13&lt;$K$3,"ERROR: El salario no puede ser inferior al salario mínimo legal vigente (SMLV)",IF(OR(C13&lt;=0,C13&gt;$K$5),"ERROR: Los días trabajados deben estar entre 1 y "&amp;$K$5,ROUND(B13/$K$6*C13,2))))</f>
        <v>43333.33</v>
      </c>
      <c r="E13" s="9">
        <f t="shared" ref="E13:E14" si="3">(162000/30)*C13</f>
        <v>5400</v>
      </c>
      <c r="F13" s="9">
        <f>IF(ISNUMBER(D13),ROUND(D13*$K$7,2),"")</f>
        <v>1733.33</v>
      </c>
      <c r="G13" s="9">
        <f>IF(ISNUMBER(D13),ROUND(D13*$K$4,2),"")</f>
        <v>1733.33</v>
      </c>
      <c r="H13" s="9">
        <f t="shared" ref="H13:H14" si="4">IF(ISNUMBER(D13),ROUND(D13+E13-F13-G13,2),"")</f>
        <v>45266.67</v>
      </c>
      <c r="J13" s="10"/>
      <c r="K13" s="10"/>
    </row>
    <row r="14" spans="1:11" x14ac:dyDescent="0.3">
      <c r="A14" s="6" t="s">
        <v>20</v>
      </c>
      <c r="B14" s="7">
        <v>1300000</v>
      </c>
      <c r="C14" s="8">
        <v>15</v>
      </c>
      <c r="D14" s="9">
        <f>IF(B14&lt;=0,"ERROR: El salario debe ser mayor que cero",IF(B14&lt;$K$3,"ERROR: El salario no puede ser inferior al salario mínimo legal vigente (SMLV)",IF(OR(C14&lt;=0,C14&gt;$K$5),"ERROR: Los días trabajados deben estar entre 1 y "&amp;$K$5,ROUND(B14/$K$6*C14,2))))</f>
        <v>650000</v>
      </c>
      <c r="E14" s="9">
        <f t="shared" si="3"/>
        <v>81000</v>
      </c>
      <c r="F14" s="9">
        <f>IF(ISNUMBER(D14),ROUND(D14*$K$7,2),"")</f>
        <v>26000</v>
      </c>
      <c r="G14" s="9">
        <f>IF(ISNUMBER(D14),ROUND(D14*$K$4,2),"")</f>
        <v>26000</v>
      </c>
      <c r="H14" s="9">
        <f t="shared" si="4"/>
        <v>679000</v>
      </c>
      <c r="J14" s="10"/>
      <c r="K14" s="10"/>
    </row>
    <row r="15" spans="1:11" ht="14.4" customHeight="1" x14ac:dyDescent="0.3">
      <c r="J15" s="21" t="s">
        <v>34</v>
      </c>
    </row>
    <row r="16" spans="1:11" x14ac:dyDescent="0.3">
      <c r="A16" s="11" t="s">
        <v>21</v>
      </c>
      <c r="B16" s="11"/>
      <c r="C16" s="11"/>
      <c r="D16" s="11"/>
      <c r="E16" s="11"/>
      <c r="F16" s="11"/>
      <c r="G16" s="11"/>
      <c r="H16" s="11"/>
      <c r="J16" s="21"/>
    </row>
    <row r="17" spans="1:10" x14ac:dyDescent="0.3">
      <c r="A17" s="6" t="s">
        <v>22</v>
      </c>
      <c r="B17" s="7">
        <v>0</v>
      </c>
      <c r="C17" s="8">
        <v>15</v>
      </c>
      <c r="D17" s="9" t="str">
        <f>IF(B17&lt;=0,"ERROR: El salario debe ser mayor que cero",IF(B17&lt;$K$3,"ERROR: El salario no puede ser inferior al salario mínimo legal vigente (SMLV)",IF(OR(C17&lt;=0,C17&gt;$K$5),"ERROR: Los días trabajados deben estar entre 1 y "&amp;$K$5,ROUND(B17/$K$6*C17,2))))</f>
        <v>ERROR: El salario debe ser mayor que cero</v>
      </c>
      <c r="E17" s="9"/>
      <c r="F17" s="9"/>
      <c r="G17" s="9" t="str">
        <f>IF(ISNUMBER(D17),ROUND(D17*$K$4,2),"")</f>
        <v/>
      </c>
      <c r="H17" s="9" t="str">
        <f>IF(ISNUMBER(D17),ROUND(D17-G17,2),"")</f>
        <v/>
      </c>
      <c r="J17" s="21"/>
    </row>
    <row r="18" spans="1:10" x14ac:dyDescent="0.3">
      <c r="A18" s="6" t="s">
        <v>23</v>
      </c>
      <c r="B18" s="7">
        <v>900000</v>
      </c>
      <c r="C18" s="8">
        <v>15</v>
      </c>
      <c r="D18" s="9" t="str">
        <f>IF(B18&lt;=0,"ERROR: El salario debe ser mayor que cero",IF(B18&lt;$K$3,"ERROR: El salario no puede ser inferior al salario mínimo legal vigente (SMLV)",IF(OR(C18&lt;=0,C18&gt;$K$5),"ERROR: Los días trabajados deben estar entre 1 y "&amp;$K$5,ROUND(B18/$K$6*C18,2))))</f>
        <v>ERROR: El salario no puede ser inferior al salario mínimo legal vigente (SMLV)</v>
      </c>
      <c r="E18" s="9"/>
      <c r="F18" s="9"/>
      <c r="G18" s="9" t="str">
        <f>IF(ISNUMBER(D18),ROUND(D18*$K$4,2),"")</f>
        <v/>
      </c>
      <c r="H18" s="9" t="str">
        <f>IF(ISNUMBER(D18),ROUND(D18-G18,2),"")</f>
        <v/>
      </c>
      <c r="J18" s="21"/>
    </row>
    <row r="19" spans="1:10" x14ac:dyDescent="0.3">
      <c r="A19" s="6" t="s">
        <v>24</v>
      </c>
      <c r="B19" s="7">
        <v>3500000</v>
      </c>
      <c r="C19" s="8">
        <v>0</v>
      </c>
      <c r="D19" s="9" t="str">
        <f>IF(B19&lt;=0,"ERROR: El salario debe ser mayor que cero",IF(B19&lt;$K$3,"ERROR: El salario no puede ser inferior al salario mínimo legal vigente (SMLV)",IF(OR(C19&lt;=0,C19&gt;$K$5),"ERROR: Los días trabajados deben estar entre 1 y "&amp;$K$5,ROUND(B19/$K$6*C19,2))))</f>
        <v>ERROR: Los días trabajados deben estar entre 1 y 15</v>
      </c>
      <c r="E19" s="9"/>
      <c r="F19" s="9"/>
      <c r="G19" s="9" t="str">
        <f>IF(ISNUMBER(D19),ROUND(D19*$K$4,2),"")</f>
        <v/>
      </c>
      <c r="H19" s="9" t="str">
        <f>IF(ISNUMBER(D19),ROUND(D19-G19,2),"")</f>
        <v/>
      </c>
      <c r="J19" s="21"/>
    </row>
    <row r="20" spans="1:10" x14ac:dyDescent="0.3">
      <c r="A20" s="6" t="s">
        <v>25</v>
      </c>
      <c r="B20" s="7">
        <v>3500000</v>
      </c>
      <c r="C20" s="8">
        <v>20</v>
      </c>
      <c r="D20" s="9" t="str">
        <f>IF(B20&lt;=0,"ERROR: El salario debe ser mayor que cero",IF(B20&lt;$K$3,"ERROR: El salario no puede ser inferior al salario mínimo legal vigente (SMLV)",IF(OR(C20&lt;=0,C20&gt;$K$5),"ERROR: Los días trabajados deben estar entre 1 y "&amp;$K$5,ROUND(B20/$K$6*C20,2))))</f>
        <v>ERROR: Los días trabajados deben estar entre 1 y 15</v>
      </c>
      <c r="E20" s="9"/>
      <c r="F20" s="9"/>
      <c r="G20" s="9" t="str">
        <f>IF(ISNUMBER(D20),ROUND(D20*$K$4,2),"")</f>
        <v/>
      </c>
      <c r="H20" s="9" t="str">
        <f>IF(ISNUMBER(D20),ROUND(D20-G20,2),"")</f>
        <v/>
      </c>
      <c r="J20" s="21"/>
    </row>
    <row r="24" spans="1:10" x14ac:dyDescent="0.3">
      <c r="A24" t="s">
        <v>26</v>
      </c>
    </row>
    <row r="25" spans="1:10" x14ac:dyDescent="0.3">
      <c r="A25" t="s">
        <v>27</v>
      </c>
    </row>
    <row r="26" spans="1:10" x14ac:dyDescent="0.3">
      <c r="A26" t="s">
        <v>28</v>
      </c>
    </row>
  </sheetData>
  <mergeCells count="9">
    <mergeCell ref="J8:K14"/>
    <mergeCell ref="A11:H11"/>
    <mergeCell ref="A16:H16"/>
    <mergeCell ref="A1:H1"/>
    <mergeCell ref="J2:K2"/>
    <mergeCell ref="B3:C3"/>
    <mergeCell ref="D3:H3"/>
    <mergeCell ref="A6:H6"/>
    <mergeCell ref="J15:J20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Juan Jose Garcia Agudelo</cp:lastModifiedBy>
  <cp:revision>0</cp:revision>
  <dcterms:created xsi:type="dcterms:W3CDTF">2026-07-29T03:44:25Z</dcterms:created>
  <dcterms:modified xsi:type="dcterms:W3CDTF">2026-08-14T04:11:07Z</dcterms:modified>
  <dc:language>en-US</dc:language>
</cp:coreProperties>
</file>