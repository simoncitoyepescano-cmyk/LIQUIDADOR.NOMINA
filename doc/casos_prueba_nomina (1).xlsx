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QUIDACION_NOMI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<sst xmlns="http://schemas.openxmlformats.org/spreadsheetml/2006/main" count="153" uniqueCount="46">
  <si>
    <t xml:space="preserve">CASOS DE PRUEBA</t>
  </si>
  <si>
    <t xml:space="preserve">VALORES ENTRADA</t>
  </si>
  <si>
    <t xml:space="preserve">VALORES SALIDA</t>
  </si>
  <si>
    <t xml:space="preserve">CASO / TRABAJADOR</t>
  </si>
  <si>
    <t xml:space="preserve">Salario Base</t>
  </si>
  <si>
    <t xml:space="preserve">Dias Trabajados</t>
  </si>
  <si>
    <t xml:space="preserve">Horas Extra Diurnas</t>
  </si>
  <si>
    <t xml:space="preserve">Horas Extra Nocturnas</t>
  </si>
  <si>
    <t xml:space="preserve">Horas Extra Dom. Diurnas</t>
  </si>
  <si>
    <t xml:space="preserve">Horas Extra Dom. Nocturnas</t>
  </si>
  <si>
    <t xml:space="preserve">Horas Recargo Nocturno</t>
  </si>
  <si>
    <t xml:space="preserve">Horas Recargo Dom/Festivo</t>
  </si>
  <si>
    <t xml:space="preserve">Valor Hora Ordinaria</t>
  </si>
  <si>
    <t xml:space="preserve">Salario Proporcional</t>
  </si>
  <si>
    <t xml:space="preserve">Auxilio Transporte</t>
  </si>
  <si>
    <t xml:space="preserve">Hora Extra Diurna (HED)</t>
  </si>
  <si>
    <t xml:space="preserve">Hora Extra Nocturna (HEN)</t>
  </si>
  <si>
    <t xml:space="preserve">Hora Extra Dom. Diurna (HEDD)</t>
  </si>
  <si>
    <t xml:space="preserve">Hora Extra Dom. Nocturna (HEDN)</t>
  </si>
  <si>
    <t xml:space="preserve">Recargo Nocturno (RN)</t>
  </si>
  <si>
    <t xml:space="preserve">Recargo Dom/Festivo (RDF)</t>
  </si>
  <si>
    <t xml:space="preserve">IBC</t>
  </si>
  <si>
    <t xml:space="preserve">Salud Empleado</t>
  </si>
  <si>
    <t xml:space="preserve">Pension Empleado</t>
  </si>
  <si>
    <t xml:space="preserve">Total Devengado</t>
  </si>
  <si>
    <t xml:space="preserve">Total Deducciones</t>
  </si>
  <si>
    <t xml:space="preserve">Neto a Pagar</t>
  </si>
  <si>
    <t xml:space="preserve">Salario minimo - mes completo</t>
  </si>
  <si>
    <t xml:space="preserve">2 SMMLV exacto (tope de auxilio)</t>
  </si>
  <si>
    <t xml:space="preserve">Salario alto - sin auxilio</t>
  </si>
  <si>
    <t xml:space="preserve">Horas extra diurnas + recargo nocturno</t>
  </si>
  <si>
    <t xml:space="preserve">Dias parciales (15 dias)</t>
  </si>
  <si>
    <t xml:space="preserve">CASOS DE ERROR</t>
  </si>
  <si>
    <t xml:space="preserve">Salario base = 0</t>
  </si>
  <si>
    <t xml:space="preserve">ERROR</t>
  </si>
  <si>
    <t xml:space="preserve">SalarioInvalido: el salario base debe ser mayor que cero</t>
  </si>
  <si>
    <t xml:space="preserve">Salario base negativo</t>
  </si>
  <si>
    <t xml:space="preserve">SalarioInvalido: el salario base no puede ser negativo</t>
  </si>
  <si>
    <t xml:space="preserve">Horas extra diurnas negativas</t>
  </si>
  <si>
    <t xml:space="preserve">HorasInvalidas: la cantidad de horas no puede ser negativa</t>
  </si>
  <si>
    <t xml:space="preserve">Dias trabajados fuera de rango (35)</t>
  </si>
  <si>
    <t xml:space="preserve">DiasInvalidas: los dias trabajados deben estar entre 0 y 30</t>
  </si>
  <si>
    <t xml:space="preserve">CASOS EXTRAORDINARIOS</t>
  </si>
  <si>
    <t xml:space="preserve">Salario muy alto (15.000.000)</t>
  </si>
  <si>
    <t xml:space="preserve">Todos los tipos de hora a la vez</t>
  </si>
  <si>
    <t xml:space="preserve">Cero dias trabajados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</si>
</sst>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i val="true"/>
      <sz val="9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BFBFBF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2"/>
    <col collapsed="false" customWidth="true" hidden="false" outlineLevel="0" max="10" min="10" style="0" width="3"/>
    <col collapsed="false" customWidth="true" hidden="false" outlineLevel="0" max="25" min="11" style="0" width="12"/>
    <col collapsed="false" customWidth="true" hidden="false" outlineLevel="0" max="27" min="27" style="0" width="45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customFormat="false" ht="15" hidden="false" customHeight="false" outlineLevel="0" collapsed="false">
      <c r="A4" s="4" t="s">
        <v>27</v>
      </c>
      <c r="B4" s="4" t="n">
        <v>1423500</v>
      </c>
      <c r="C4" s="4" t="n">
        <v>30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/>
      <c r="K4" s="6" t="n">
        <f aca="false">ROUND((B4/220),2)</f>
        <v>6470.45</v>
      </c>
      <c r="L4" s="6" t="n">
        <f aca="false">ROUND(((B4/30)*C4),2)</f>
        <v>1423500</v>
      </c>
      <c r="M4" s="6" t="n">
        <f aca="false">ROUND((IF(B4&lt;=2847000,200000,0)*(C4/30)),2)</f>
        <v>200000</v>
      </c>
      <c r="N4" s="6" t="n">
        <f aca="false">ROUND(((B4/220)*(1+0.25)*D4),2)</f>
        <v>0</v>
      </c>
      <c r="O4" s="6" t="n">
        <f aca="false">ROUND(((B4/220)*(1+0.75)*E4),2)</f>
        <v>0</v>
      </c>
      <c r="P4" s="6" t="n">
        <f aca="false">ROUND(((B4/220)*(1+1)*F4),2)</f>
        <v>0</v>
      </c>
      <c r="Q4" s="6" t="n">
        <f aca="false">ROUND(((B4/220)*(1+1.5)*G4),2)</f>
        <v>0</v>
      </c>
      <c r="R4" s="6" t="n">
        <f aca="false">ROUND(((B4/220)*0.35*H4),2)</f>
        <v>0</v>
      </c>
      <c r="S4" s="6" t="n">
        <f aca="false">ROUND(((B4/220)*0.75*I4),2)</f>
        <v>0</v>
      </c>
      <c r="T4" s="6" t="n">
        <f aca="false">ROUND((((B4/30)*C4)+((B4/220)*(1+0.25)*D4)+((B4/220)*(1+0.75)*E4)+((B4/220)*(1+1)*F4)+((B4/220)*(1+1.5)*G4)+((B4/220)*0.35*H4)+((B4/220)*0.75*I4)),2)</f>
        <v>1423500</v>
      </c>
      <c r="U4" s="6" t="n">
        <f aca="false">ROUND(((((B4/30)*C4)+((B4/220)*(1+0.25)*D4)+((B4/220)*(1+0.75)*E4)+((B4/220)*(1+1)*F4)+((B4/220)*(1+1.5)*G4)+((B4/220)*0.35*H4)+((B4/220)*0.75*I4))*0.04),2)</f>
        <v>56940</v>
      </c>
      <c r="V4" s="6" t="n">
        <f aca="false">ROUND(((((B4/30)*C4)+((B4/220)*(1+0.25)*D4)+((B4/220)*(1+0.75)*E4)+((B4/220)*(1+1)*F4)+((B4/220)*(1+1.5)*G4)+((B4/220)*0.35*H4)+((B4/220)*0.75*I4))*0.04),2)</f>
        <v>56940</v>
      </c>
      <c r="W4" s="6" t="n">
        <f aca="false">ROUND((((B4/30)*C4)+(IF(B4&lt;=2847000,200000,0)*(C4/30))+((B4/220)*(1+0.25)*D4)+((B4/220)*(1+0.75)*E4)+((B4/220)*(1+1)*F4)+((B4/220)*(1+1.5)*G4)+((B4/220)*0.35*H4)+((B4/220)*0.75*I4)),2)</f>
        <v>1623500</v>
      </c>
      <c r="X4" s="6" t="n">
        <f aca="false">ROUND((((((B4/30)*C4)+((B4/220)*(1+0.25)*D4)+((B4/220)*(1+0.75)*E4)+((B4/220)*(1+1)*F4)+((B4/220)*(1+1.5)*G4)+((B4/220)*0.35*H4)+((B4/220)*0.75*I4))*0.04)+((((B4/30)*C4)+((B4/220)*(1+0.25)*D4)+((B4/220)*(1+0.75)*E4)+((B4/220)*(1+1)*F4)+((B4/220)*(1+1.5)*G4)+((B4/220)*0.35*H4)+((B4/220)*0.75*I4))*0.04)),2)</f>
        <v>113880</v>
      </c>
      <c r="Y4" s="6" t="n">
        <f aca="false">ROUND(((((B4/30)*C4)+(IF(B4&lt;=2847000,200000,0)*(C4/30))+((B4/220)*(1+0.25)*D4)+((B4/220)*(1+0.75)*E4)+((B4/220)*(1+1)*F4)+((B4/220)*(1+1.5)*G4)+((B4/220)*0.35*H4)+((B4/220)*0.75*I4))-(((((B4/30)*C4)+((B4/220)*(1+0.25)*D4)+((B4/220)*(1+0.75)*E4)+((B4/220)*(1+1)*F4)+((B4/220)*(1+1.5)*G4)+((B4/220)*0.35*H4)+((B4/220)*0.75*I4))*0.04)+((((B4/30)*C4)+((B4/220)*(1+0.25)*D4)+((B4/220)*(1+0.75)*E4)+((B4/220)*(1+1)*F4)+((B4/220)*(1+1.5)*G4)+((B4/220)*0.35*H4)+((B4/220)*0.75*I4))*0.04))),2)</f>
        <v>1509620</v>
      </c>
    </row>
    <row r="5" customFormat="false" ht="15" hidden="false" customHeight="false" outlineLevel="0" collapsed="false">
      <c r="A5" s="4" t="s">
        <v>28</v>
      </c>
      <c r="B5" s="4" t="n">
        <v>2847000</v>
      </c>
      <c r="C5" s="4" t="n">
        <v>30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/>
      <c r="K5" s="6" t="n">
        <f aca="false">ROUND((B5/220),2)</f>
        <v>12940.91</v>
      </c>
      <c r="L5" s="6" t="n">
        <f aca="false">ROUND(((B5/30)*C5),2)</f>
        <v>2847000</v>
      </c>
      <c r="M5" s="6" t="n">
        <f aca="false">ROUND((IF(B5&lt;=2847000,200000,0)*(C5/30)),2)</f>
        <v>200000</v>
      </c>
      <c r="N5" s="6" t="n">
        <f aca="false">ROUND(((B5/220)*(1+0.25)*D5),2)</f>
        <v>0</v>
      </c>
      <c r="O5" s="6" t="n">
        <f aca="false">ROUND(((B5/220)*(1+0.75)*E5),2)</f>
        <v>0</v>
      </c>
      <c r="P5" s="6" t="n">
        <f aca="false">ROUND(((B5/220)*(1+1)*F5),2)</f>
        <v>0</v>
      </c>
      <c r="Q5" s="6" t="n">
        <f aca="false">ROUND(((B5/220)*(1+1.5)*G5),2)</f>
        <v>0</v>
      </c>
      <c r="R5" s="6" t="n">
        <f aca="false">ROUND(((B5/220)*0.35*H5),2)</f>
        <v>0</v>
      </c>
      <c r="S5" s="6" t="n">
        <f aca="false">ROUND(((B5/220)*0.75*I5),2)</f>
        <v>0</v>
      </c>
      <c r="T5" s="6" t="n">
        <f aca="false">ROUND((((B5/30)*C5)+((B5/220)*(1+0.25)*D5)+((B5/220)*(1+0.75)*E5)+((B5/220)*(1+1)*F5)+((B5/220)*(1+1.5)*G5)+((B5/220)*0.35*H5)+((B5/220)*0.75*I5)),2)</f>
        <v>2847000</v>
      </c>
      <c r="U5" s="6" t="n">
        <f aca="false">ROUND(((((B5/30)*C5)+((B5/220)*(1+0.25)*D5)+((B5/220)*(1+0.75)*E5)+((B5/220)*(1+1)*F5)+((B5/220)*(1+1.5)*G5)+((B5/220)*0.35*H5)+((B5/220)*0.75*I5))*0.04),2)</f>
        <v>113880</v>
      </c>
      <c r="V5" s="6" t="n">
        <f aca="false">ROUND(((((B5/30)*C5)+((B5/220)*(1+0.25)*D5)+((B5/220)*(1+0.75)*E5)+((B5/220)*(1+1)*F5)+((B5/220)*(1+1.5)*G5)+((B5/220)*0.35*H5)+((B5/220)*0.75*I5))*0.04),2)</f>
        <v>113880</v>
      </c>
      <c r="W5" s="6" t="n">
        <f aca="false">ROUND((((B5/30)*C5)+(IF(B5&lt;=2847000,200000,0)*(C5/30))+((B5/220)*(1+0.25)*D5)+((B5/220)*(1+0.75)*E5)+((B5/220)*(1+1)*F5)+((B5/220)*(1+1.5)*G5)+((B5/220)*0.35*H5)+((B5/220)*0.75*I5)),2)</f>
        <v>3047000</v>
      </c>
      <c r="X5" s="6" t="n">
        <f aca="false">ROUND((((((B5/30)*C5)+((B5/220)*(1+0.25)*D5)+((B5/220)*(1+0.75)*E5)+((B5/220)*(1+1)*F5)+((B5/220)*(1+1.5)*G5)+((B5/220)*0.35*H5)+((B5/220)*0.75*I5))*0.04)+((((B5/30)*C5)+((B5/220)*(1+0.25)*D5)+((B5/220)*(1+0.75)*E5)+((B5/220)*(1+1)*F5)+((B5/220)*(1+1.5)*G5)+((B5/220)*0.35*H5)+((B5/220)*0.75*I5))*0.04)),2)</f>
        <v>227760</v>
      </c>
      <c r="Y5" s="6" t="n">
        <f aca="false">ROUND(((((B5/30)*C5)+(IF(B5&lt;=2847000,200000,0)*(C5/30))+((B5/220)*(1+0.25)*D5)+((B5/220)*(1+0.75)*E5)+((B5/220)*(1+1)*F5)+((B5/220)*(1+1.5)*G5)+((B5/220)*0.35*H5)+((B5/220)*0.75*I5))-(((((B5/30)*C5)+((B5/220)*(1+0.25)*D5)+((B5/220)*(1+0.75)*E5)+((B5/220)*(1+1)*F5)+((B5/220)*(1+1.5)*G5)+((B5/220)*0.35*H5)+((B5/220)*0.75*I5))*0.04)+((((B5/30)*C5)+((B5/220)*(1+0.25)*D5)+((B5/220)*(1+0.75)*E5)+((B5/220)*(1+1)*F5)+((B5/220)*(1+1.5)*G5)+((B5/220)*0.35*H5)+((B5/220)*0.75*I5))*0.04))),2)</f>
        <v>2819240</v>
      </c>
    </row>
    <row r="6" customFormat="false" ht="15" hidden="false" customHeight="false" outlineLevel="0" collapsed="false">
      <c r="A6" s="4" t="s">
        <v>29</v>
      </c>
      <c r="B6" s="4" t="n">
        <v>5000000</v>
      </c>
      <c r="C6" s="4" t="n">
        <v>30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/>
      <c r="K6" s="6" t="n">
        <f aca="false">ROUND((B6/220),2)</f>
        <v>22727.27</v>
      </c>
      <c r="L6" s="6" t="n">
        <f aca="false">ROUND(((B6/30)*C6),2)</f>
        <v>5000000</v>
      </c>
      <c r="M6" s="6" t="n">
        <f aca="false">ROUND((IF(B6&lt;=2847000,200000,0)*(C6/30)),2)</f>
        <v>0</v>
      </c>
      <c r="N6" s="6" t="n">
        <f aca="false">ROUND(((B6/220)*(1+0.25)*D6),2)</f>
        <v>0</v>
      </c>
      <c r="O6" s="6" t="n">
        <f aca="false">ROUND(((B6/220)*(1+0.75)*E6),2)</f>
        <v>0</v>
      </c>
      <c r="P6" s="6" t="n">
        <f aca="false">ROUND(((B6/220)*(1+1)*F6),2)</f>
        <v>0</v>
      </c>
      <c r="Q6" s="6" t="n">
        <f aca="false">ROUND(((B6/220)*(1+1.5)*G6),2)</f>
        <v>0</v>
      </c>
      <c r="R6" s="6" t="n">
        <f aca="false">ROUND(((B6/220)*0.35*H6),2)</f>
        <v>0</v>
      </c>
      <c r="S6" s="6" t="n">
        <f aca="false">ROUND(((B6/220)*0.75*I6),2)</f>
        <v>0</v>
      </c>
      <c r="T6" s="6" t="n">
        <f aca="false">ROUND((((B6/30)*C6)+((B6/220)*(1+0.25)*D6)+((B6/220)*(1+0.75)*E6)+((B6/220)*(1+1)*F6)+((B6/220)*(1+1.5)*G6)+((B6/220)*0.35*H6)+((B6/220)*0.75*I6)),2)</f>
        <v>5000000</v>
      </c>
      <c r="U6" s="6" t="n">
        <f aca="false">ROUND(((((B6/30)*C6)+((B6/220)*(1+0.25)*D6)+((B6/220)*(1+0.75)*E6)+((B6/220)*(1+1)*F6)+((B6/220)*(1+1.5)*G6)+((B6/220)*0.35*H6)+((B6/220)*0.75*I6))*0.04),2)</f>
        <v>200000</v>
      </c>
      <c r="V6" s="6" t="n">
        <f aca="false">ROUND(((((B6/30)*C6)+((B6/220)*(1+0.25)*D6)+((B6/220)*(1+0.75)*E6)+((B6/220)*(1+1)*F6)+((B6/220)*(1+1.5)*G6)+((B6/220)*0.35*H6)+((B6/220)*0.75*I6))*0.04),2)</f>
        <v>200000</v>
      </c>
      <c r="W6" s="6" t="n">
        <f aca="false">ROUND((((B6/30)*C6)+(IF(B6&lt;=2847000,200000,0)*(C6/30))+((B6/220)*(1+0.25)*D6)+((B6/220)*(1+0.75)*E6)+((B6/220)*(1+1)*F6)+((B6/220)*(1+1.5)*G6)+((B6/220)*0.35*H6)+((B6/220)*0.75*I6)),2)</f>
        <v>5000000</v>
      </c>
      <c r="X6" s="6" t="n">
        <f aca="false">ROUND((((((B6/30)*C6)+((B6/220)*(1+0.25)*D6)+((B6/220)*(1+0.75)*E6)+((B6/220)*(1+1)*F6)+((B6/220)*(1+1.5)*G6)+((B6/220)*0.35*H6)+((B6/220)*0.75*I6))*0.04)+((((B6/30)*C6)+((B6/220)*(1+0.25)*D6)+((B6/220)*(1+0.75)*E6)+((B6/220)*(1+1)*F6)+((B6/220)*(1+1.5)*G6)+((B6/220)*0.35*H6)+((B6/220)*0.75*I6))*0.04)),2)</f>
        <v>400000</v>
      </c>
      <c r="Y6" s="6" t="n">
        <f aca="false">ROUND(((((B6/30)*C6)+(IF(B6&lt;=2847000,200000,0)*(C6/30))+((B6/220)*(1+0.25)*D6)+((B6/220)*(1+0.75)*E6)+((B6/220)*(1+1)*F6)+((B6/220)*(1+1.5)*G6)+((B6/220)*0.35*H6)+((B6/220)*0.75*I6))-(((((B6/30)*C6)+((B6/220)*(1+0.25)*D6)+((B6/220)*(1+0.75)*E6)+((B6/220)*(1+1)*F6)+((B6/220)*(1+1.5)*G6)+((B6/220)*0.35*H6)+((B6/220)*0.75*I6))*0.04)+((((B6/30)*C6)+((B6/220)*(1+0.25)*D6)+((B6/220)*(1+0.75)*E6)+((B6/220)*(1+1)*F6)+((B6/220)*(1+1.5)*G6)+((B6/220)*0.35*H6)+((B6/220)*0.75*I6))*0.04))),2)</f>
        <v>4600000</v>
      </c>
    </row>
    <row r="7" customFormat="false" ht="15" hidden="false" customHeight="false" outlineLevel="0" collapsed="false">
      <c r="A7" s="4" t="s">
        <v>30</v>
      </c>
      <c r="B7" s="4" t="n">
        <v>3500000</v>
      </c>
      <c r="C7" s="4" t="n">
        <v>30</v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10</v>
      </c>
      <c r="I7" s="4" t="n">
        <v>0</v>
      </c>
      <c r="J7" s="5"/>
      <c r="K7" s="6" t="n">
        <f aca="false">ROUND((B7/220),2)</f>
        <v>15909.09</v>
      </c>
      <c r="L7" s="6" t="n">
        <f aca="false">ROUND(((B7/30)*C7),2)</f>
        <v>3500000</v>
      </c>
      <c r="M7" s="6" t="n">
        <f aca="false">ROUND((IF(B7&lt;=2847000,200000,0)*(C7/30)),2)</f>
        <v>0</v>
      </c>
      <c r="N7" s="6" t="n">
        <f aca="false">ROUND(((B7/220)*(1+0.25)*D7),2)</f>
        <v>79545.45</v>
      </c>
      <c r="O7" s="6" t="n">
        <f aca="false">ROUND(((B7/220)*(1+0.75)*E7),2)</f>
        <v>0</v>
      </c>
      <c r="P7" s="6" t="n">
        <f aca="false">ROUND(((B7/220)*(1+1)*F7),2)</f>
        <v>0</v>
      </c>
      <c r="Q7" s="6" t="n">
        <f aca="false">ROUND(((B7/220)*(1+1.5)*G7),2)</f>
        <v>0</v>
      </c>
      <c r="R7" s="6" t="n">
        <f aca="false">ROUND(((B7/220)*0.35*H7),2)</f>
        <v>55681.82</v>
      </c>
      <c r="S7" s="6" t="n">
        <f aca="false">ROUND(((B7/220)*0.75*I7),2)</f>
        <v>0</v>
      </c>
      <c r="T7" s="6" t="n">
        <f aca="false">ROUND((((B7/30)*C7)+((B7/220)*(1+0.25)*D7)+((B7/220)*(1+0.75)*E7)+((B7/220)*(1+1)*F7)+((B7/220)*(1+1.5)*G7)+((B7/220)*0.35*H7)+((B7/220)*0.75*I7)),2)</f>
        <v>3635227.27</v>
      </c>
      <c r="U7" s="6" t="n">
        <f aca="false">ROUND(((((B7/30)*C7)+((B7/220)*(1+0.25)*D7)+((B7/220)*(1+0.75)*E7)+((B7/220)*(1+1)*F7)+((B7/220)*(1+1.5)*G7)+((B7/220)*0.35*H7)+((B7/220)*0.75*I7))*0.04),2)</f>
        <v>145409.09</v>
      </c>
      <c r="V7" s="6" t="n">
        <f aca="false">ROUND(((((B7/30)*C7)+((B7/220)*(1+0.25)*D7)+((B7/220)*(1+0.75)*E7)+((B7/220)*(1+1)*F7)+((B7/220)*(1+1.5)*G7)+((B7/220)*0.35*H7)+((B7/220)*0.75*I7))*0.04),2)</f>
        <v>145409.09</v>
      </c>
      <c r="W7" s="6" t="n">
        <f aca="false">ROUND((((B7/30)*C7)+(IF(B7&lt;=2847000,200000,0)*(C7/30))+((B7/220)*(1+0.25)*D7)+((B7/220)*(1+0.75)*E7)+((B7/220)*(1+1)*F7)+((B7/220)*(1+1.5)*G7)+((B7/220)*0.35*H7)+((B7/220)*0.75*I7)),2)</f>
        <v>3635227.27</v>
      </c>
      <c r="X7" s="6" t="n">
        <f aca="false">ROUND((((((B7/30)*C7)+((B7/220)*(1+0.25)*D7)+((B7/220)*(1+0.75)*E7)+((B7/220)*(1+1)*F7)+((B7/220)*(1+1.5)*G7)+((B7/220)*0.35*H7)+((B7/220)*0.75*I7))*0.04)+((((B7/30)*C7)+((B7/220)*(1+0.25)*D7)+((B7/220)*(1+0.75)*E7)+((B7/220)*(1+1)*F7)+((B7/220)*(1+1.5)*G7)+((B7/220)*0.35*H7)+((B7/220)*0.75*I7))*0.04)),2)</f>
        <v>290818.18</v>
      </c>
      <c r="Y7" s="6" t="n">
        <f aca="false">ROUND(((((B7/30)*C7)+(IF(B7&lt;=2847000,200000,0)*(C7/30))+((B7/220)*(1+0.25)*D7)+((B7/220)*(1+0.75)*E7)+((B7/220)*(1+1)*F7)+((B7/220)*(1+1.5)*G7)+((B7/220)*0.35*H7)+((B7/220)*0.75*I7))-(((((B7/30)*C7)+((B7/220)*(1+0.25)*D7)+((B7/220)*(1+0.75)*E7)+((B7/220)*(1+1)*F7)+((B7/220)*(1+1.5)*G7)+((B7/220)*0.35*H7)+((B7/220)*0.75*I7))*0.04)+((((B7/30)*C7)+((B7/220)*(1+0.25)*D7)+((B7/220)*(1+0.75)*E7)+((B7/220)*(1+1)*F7)+((B7/220)*(1+1.5)*G7)+((B7/220)*0.35*H7)+((B7/220)*0.75*I7))*0.04))),2)</f>
        <v>3344409.09</v>
      </c>
    </row>
    <row r="8" customFormat="false" ht="15" hidden="false" customHeight="false" outlineLevel="0" collapsed="false">
      <c r="A8" s="4" t="s">
        <v>31</v>
      </c>
      <c r="B8" s="4" t="n">
        <v>1423500</v>
      </c>
      <c r="C8" s="4" t="n">
        <v>15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/>
      <c r="K8" s="6" t="n">
        <f aca="false">ROUND((B8/220),2)</f>
        <v>6470.45</v>
      </c>
      <c r="L8" s="6" t="n">
        <f aca="false">ROUND(((B8/30)*C8),2)</f>
        <v>711750</v>
      </c>
      <c r="M8" s="6" t="n">
        <f aca="false">ROUND((IF(B8&lt;=2847000,200000,0)*(C8/30)),2)</f>
        <v>100000</v>
      </c>
      <c r="N8" s="6" t="n">
        <f aca="false">ROUND(((B8/220)*(1+0.25)*D8),2)</f>
        <v>0</v>
      </c>
      <c r="O8" s="6" t="n">
        <f aca="false">ROUND(((B8/220)*(1+0.75)*E8),2)</f>
        <v>0</v>
      </c>
      <c r="P8" s="6" t="n">
        <f aca="false">ROUND(((B8/220)*(1+1)*F8),2)</f>
        <v>0</v>
      </c>
      <c r="Q8" s="6" t="n">
        <f aca="false">ROUND(((B8/220)*(1+1.5)*G8),2)</f>
        <v>0</v>
      </c>
      <c r="R8" s="6" t="n">
        <f aca="false">ROUND(((B8/220)*0.35*H8),2)</f>
        <v>0</v>
      </c>
      <c r="S8" s="6" t="n">
        <f aca="false">ROUND(((B8/220)*0.75*I8),2)</f>
        <v>0</v>
      </c>
      <c r="T8" s="6" t="n">
        <f aca="false">ROUND((((B8/30)*C8)+((B8/220)*(1+0.25)*D8)+((B8/220)*(1+0.75)*E8)+((B8/220)*(1+1)*F8)+((B8/220)*(1+1.5)*G8)+((B8/220)*0.35*H8)+((B8/220)*0.75*I8)),2)</f>
        <v>711750</v>
      </c>
      <c r="U8" s="6" t="n">
        <f aca="false">ROUND(((((B8/30)*C8)+((B8/220)*(1+0.25)*D8)+((B8/220)*(1+0.75)*E8)+((B8/220)*(1+1)*F8)+((B8/220)*(1+1.5)*G8)+((B8/220)*0.35*H8)+((B8/220)*0.75*I8))*0.04),2)</f>
        <v>28470</v>
      </c>
      <c r="V8" s="6" t="n">
        <f aca="false">ROUND(((((B8/30)*C8)+((B8/220)*(1+0.25)*D8)+((B8/220)*(1+0.75)*E8)+((B8/220)*(1+1)*F8)+((B8/220)*(1+1.5)*G8)+((B8/220)*0.35*H8)+((B8/220)*0.75*I8))*0.04),2)</f>
        <v>28470</v>
      </c>
      <c r="W8" s="6" t="n">
        <f aca="false">ROUND((((B8/30)*C8)+(IF(B8&lt;=2847000,200000,0)*(C8/30))+((B8/220)*(1+0.25)*D8)+((B8/220)*(1+0.75)*E8)+((B8/220)*(1+1)*F8)+((B8/220)*(1+1.5)*G8)+((B8/220)*0.35*H8)+((B8/220)*0.75*I8)),2)</f>
        <v>811750</v>
      </c>
      <c r="X8" s="6" t="n">
        <f aca="false">ROUND((((((B8/30)*C8)+((B8/220)*(1+0.25)*D8)+((B8/220)*(1+0.75)*E8)+((B8/220)*(1+1)*F8)+((B8/220)*(1+1.5)*G8)+((B8/220)*0.35*H8)+((B8/220)*0.75*I8))*0.04)+((((B8/30)*C8)+((B8/220)*(1+0.25)*D8)+((B8/220)*(1+0.75)*E8)+((B8/220)*(1+1)*F8)+((B8/220)*(1+1.5)*G8)+((B8/220)*0.35*H8)+((B8/220)*0.75*I8))*0.04)),2)</f>
        <v>56940</v>
      </c>
      <c r="Y8" s="6" t="n">
        <f aca="false">ROUND(((((B8/30)*C8)+(IF(B8&lt;=2847000,200000,0)*(C8/30))+((B8/220)*(1+0.25)*D8)+((B8/220)*(1+0.75)*E8)+((B8/220)*(1+1)*F8)+((B8/220)*(1+1.5)*G8)+((B8/220)*0.35*H8)+((B8/220)*0.75*I8))-(((((B8/30)*C8)+((B8/220)*(1+0.25)*D8)+((B8/220)*(1+0.75)*E8)+((B8/220)*(1+1)*F8)+((B8/220)*(1+1.5)*G8)+((B8/220)*0.35*H8)+((B8/220)*0.75*I8))*0.04)+((((B8/30)*C8)+((B8/220)*(1+0.25)*D8)+((B8/220)*(1+0.75)*E8)+((B8/220)*(1+1)*F8)+((B8/220)*(1+1.5)*G8)+((B8/220)*0.35*H8)+((B8/220)*0.75*I8))*0.04))),2)</f>
        <v>754810</v>
      </c>
    </row>
    <row r="10" customFormat="false" ht="15" hidden="false" customHeight="false" outlineLevel="0" collapsed="false">
      <c r="B10" s="7" t="s">
        <v>32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false" ht="30" hidden="false" customHeight="true" outlineLevel="0" collapsed="false">
      <c r="A11" s="3" t="s">
        <v>3</v>
      </c>
      <c r="B11" s="3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3" t="s">
        <v>9</v>
      </c>
      <c r="H11" s="3" t="s">
        <v>10</v>
      </c>
      <c r="I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  <c r="Y11" s="3" t="s">
        <v>26</v>
      </c>
    </row>
    <row r="12" customFormat="false" ht="15" hidden="false" customHeight="false" outlineLevel="0" collapsed="false">
      <c r="A12" s="4" t="s">
        <v>33</v>
      </c>
      <c r="B12" s="4" t="n">
        <v>0</v>
      </c>
      <c r="C12" s="4" t="n">
        <v>30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5"/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AA12" s="9" t="s">
        <v>35</v>
      </c>
    </row>
    <row r="13" customFormat="false" ht="15" hidden="false" customHeight="false" outlineLevel="0" collapsed="false">
      <c r="A13" s="4" t="s">
        <v>36</v>
      </c>
      <c r="B13" s="4" t="n">
        <v>-1423500</v>
      </c>
      <c r="C13" s="4" t="n">
        <v>30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/>
      <c r="K13" s="8" t="s">
        <v>34</v>
      </c>
      <c r="L13" s="8" t="s">
        <v>34</v>
      </c>
      <c r="M13" s="8" t="s">
        <v>34</v>
      </c>
      <c r="N13" s="8" t="s">
        <v>34</v>
      </c>
      <c r="O13" s="8" t="s">
        <v>34</v>
      </c>
      <c r="P13" s="8" t="s">
        <v>34</v>
      </c>
      <c r="Q13" s="8" t="s">
        <v>34</v>
      </c>
      <c r="R13" s="8" t="s">
        <v>34</v>
      </c>
      <c r="S13" s="8" t="s">
        <v>34</v>
      </c>
      <c r="T13" s="8" t="s">
        <v>34</v>
      </c>
      <c r="U13" s="8" t="s">
        <v>34</v>
      </c>
      <c r="V13" s="8" t="s">
        <v>34</v>
      </c>
      <c r="W13" s="8" t="s">
        <v>34</v>
      </c>
      <c r="X13" s="8" t="s">
        <v>34</v>
      </c>
      <c r="Y13" s="8" t="s">
        <v>34</v>
      </c>
      <c r="AA13" s="9" t="s">
        <v>37</v>
      </c>
    </row>
    <row r="14" customFormat="false" ht="15" hidden="false" customHeight="false" outlineLevel="0" collapsed="false">
      <c r="A14" s="4" t="s">
        <v>38</v>
      </c>
      <c r="B14" s="4" t="n">
        <v>1423500</v>
      </c>
      <c r="C14" s="4" t="n">
        <v>30</v>
      </c>
      <c r="D14" s="4" t="n">
        <v>-4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/>
      <c r="K14" s="8" t="s">
        <v>34</v>
      </c>
      <c r="L14" s="8" t="s">
        <v>34</v>
      </c>
      <c r="M14" s="8" t="s">
        <v>34</v>
      </c>
      <c r="N14" s="8" t="s">
        <v>34</v>
      </c>
      <c r="O14" s="8" t="s">
        <v>34</v>
      </c>
      <c r="P14" s="8" t="s">
        <v>34</v>
      </c>
      <c r="Q14" s="8" t="s">
        <v>34</v>
      </c>
      <c r="R14" s="8" t="s">
        <v>34</v>
      </c>
      <c r="S14" s="8" t="s">
        <v>34</v>
      </c>
      <c r="T14" s="8" t="s">
        <v>34</v>
      </c>
      <c r="U14" s="8" t="s">
        <v>34</v>
      </c>
      <c r="V14" s="8" t="s">
        <v>34</v>
      </c>
      <c r="W14" s="8" t="s">
        <v>34</v>
      </c>
      <c r="X14" s="8" t="s">
        <v>34</v>
      </c>
      <c r="Y14" s="8" t="s">
        <v>34</v>
      </c>
      <c r="AA14" s="9" t="s">
        <v>39</v>
      </c>
    </row>
    <row r="15" customFormat="false" ht="15" hidden="false" customHeight="false" outlineLevel="0" collapsed="false">
      <c r="A15" s="4" t="s">
        <v>40</v>
      </c>
      <c r="B15" s="4" t="n">
        <v>1423500</v>
      </c>
      <c r="C15" s="4" t="n">
        <v>35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/>
      <c r="K15" s="8" t="s">
        <v>34</v>
      </c>
      <c r="L15" s="8" t="s">
        <v>34</v>
      </c>
      <c r="M15" s="8" t="s">
        <v>34</v>
      </c>
      <c r="N15" s="8" t="s">
        <v>34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34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34</v>
      </c>
      <c r="Y15" s="8" t="s">
        <v>34</v>
      </c>
      <c r="AA15" s="9" t="s">
        <v>41</v>
      </c>
    </row>
    <row r="17" customFormat="false" ht="15" hidden="false" customHeight="false" outlineLevel="0" collapsed="false">
      <c r="B17" s="10" t="s">
        <v>42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customFormat="false" ht="30" hidden="false" customHeight="true" outlineLevel="0" collapsed="false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3" t="s">
        <v>10</v>
      </c>
      <c r="I18" s="3" t="s">
        <v>11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  <c r="P18" s="3" t="s">
        <v>17</v>
      </c>
      <c r="Q18" s="3" t="s">
        <v>18</v>
      </c>
      <c r="R18" s="3" t="s">
        <v>19</v>
      </c>
      <c r="S18" s="3" t="s">
        <v>20</v>
      </c>
      <c r="T18" s="3" t="s">
        <v>21</v>
      </c>
      <c r="U18" s="3" t="s">
        <v>22</v>
      </c>
      <c r="V18" s="3" t="s">
        <v>23</v>
      </c>
      <c r="W18" s="3" t="s">
        <v>24</v>
      </c>
      <c r="X18" s="3" t="s">
        <v>25</v>
      </c>
      <c r="Y18" s="3" t="s">
        <v>26</v>
      </c>
    </row>
    <row r="19" customFormat="false" ht="15" hidden="false" customHeight="false" outlineLevel="0" collapsed="false">
      <c r="A19" s="4" t="s">
        <v>43</v>
      </c>
      <c r="B19" s="4" t="n">
        <v>15000000</v>
      </c>
      <c r="C19" s="4" t="n">
        <v>30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/>
      <c r="K19" s="6" t="n">
        <f aca="false">ROUND((B19/220),2)</f>
        <v>68181.82</v>
      </c>
      <c r="L19" s="6" t="n">
        <f aca="false">ROUND(((B19/30)*C19),2)</f>
        <v>15000000</v>
      </c>
      <c r="M19" s="6" t="n">
        <f aca="false">ROUND((IF(B19&lt;=2847000,200000,0)*(C19/30)),2)</f>
        <v>0</v>
      </c>
      <c r="N19" s="6" t="n">
        <f aca="false">ROUND(((B19/220)*(1+0.25)*D19),2)</f>
        <v>0</v>
      </c>
      <c r="O19" s="6" t="n">
        <f aca="false">ROUND(((B19/220)*(1+0.75)*E19),2)</f>
        <v>0</v>
      </c>
      <c r="P19" s="6" t="n">
        <f aca="false">ROUND(((B19/220)*(1+1)*F19),2)</f>
        <v>0</v>
      </c>
      <c r="Q19" s="6" t="n">
        <f aca="false">ROUND(((B19/220)*(1+1.5)*G19),2)</f>
        <v>0</v>
      </c>
      <c r="R19" s="6" t="n">
        <f aca="false">ROUND(((B19/220)*0.35*H19),2)</f>
        <v>0</v>
      </c>
      <c r="S19" s="6" t="n">
        <f aca="false">ROUND(((B19/220)*0.75*I19),2)</f>
        <v>0</v>
      </c>
      <c r="T19" s="6" t="n">
        <f aca="false">ROUND((((B19/30)*C19)+((B19/220)*(1+0.25)*D19)+((B19/220)*(1+0.75)*E19)+((B19/220)*(1+1)*F19)+((B19/220)*(1+1.5)*G19)+((B19/220)*0.35*H19)+((B19/220)*0.75*I19)),2)</f>
        <v>15000000</v>
      </c>
      <c r="U19" s="6" t="n">
        <f aca="false">ROUND(((((B19/30)*C19)+((B19/220)*(1+0.25)*D19)+((B19/220)*(1+0.75)*E19)+((B19/220)*(1+1)*F19)+((B19/220)*(1+1.5)*G19)+((B19/220)*0.35*H19)+((B19/220)*0.75*I19))*0.04),2)</f>
        <v>600000</v>
      </c>
      <c r="V19" s="6" t="n">
        <f aca="false">ROUND(((((B19/30)*C19)+((B19/220)*(1+0.25)*D19)+((B19/220)*(1+0.75)*E19)+((B19/220)*(1+1)*F19)+((B19/220)*(1+1.5)*G19)+((B19/220)*0.35*H19)+((B19/220)*0.75*I19))*0.04),2)</f>
        <v>600000</v>
      </c>
      <c r="W19" s="6" t="n">
        <f aca="false">ROUND((((B19/30)*C19)+(IF(B19&lt;=2847000,200000,0)*(C19/30))+((B19/220)*(1+0.25)*D19)+((B19/220)*(1+0.75)*E19)+((B19/220)*(1+1)*F19)+((B19/220)*(1+1.5)*G19)+((B19/220)*0.35*H19)+((B19/220)*0.75*I19)),2)</f>
        <v>15000000</v>
      </c>
      <c r="X19" s="6" t="n">
        <f aca="false">ROUND((((((B19/30)*C19)+((B19/220)*(1+0.25)*D19)+((B19/220)*(1+0.75)*E19)+((B19/220)*(1+1)*F19)+((B19/220)*(1+1.5)*G19)+((B19/220)*0.35*H19)+((B19/220)*0.75*I19))*0.04)+((((B19/30)*C19)+((B19/220)*(1+0.25)*D19)+((B19/220)*(1+0.75)*E19)+((B19/220)*(1+1)*F19)+((B19/220)*(1+1.5)*G19)+((B19/220)*0.35*H19)+((B19/220)*0.75*I19))*0.04)),2)</f>
        <v>1200000</v>
      </c>
      <c r="Y19" s="6" t="n">
        <f aca="false">ROUND(((((B19/30)*C19)+(IF(B19&lt;=2847000,200000,0)*(C19/30))+((B19/220)*(1+0.25)*D19)+((B19/220)*(1+0.75)*E19)+((B19/220)*(1+1)*F19)+((B19/220)*(1+1.5)*G19)+((B19/220)*0.35*H19)+((B19/220)*0.75*I19))-(((((B19/30)*C19)+((B19/220)*(1+0.25)*D19)+((B19/220)*(1+0.75)*E19)+((B19/220)*(1+1)*F19)+((B19/220)*(1+1.5)*G19)+((B19/220)*0.35*H19)+((B19/220)*0.75*I19))*0.04)+((((B19/30)*C19)+((B19/220)*(1+0.25)*D19)+((B19/220)*(1+0.75)*E19)+((B19/220)*(1+1)*F19)+((B19/220)*(1+1.5)*G19)+((B19/220)*0.35*H19)+((B19/220)*0.75*I19))*0.04))),2)</f>
        <v>13800000</v>
      </c>
    </row>
    <row r="20" customFormat="false" ht="15" hidden="false" customHeight="false" outlineLevel="0" collapsed="false">
      <c r="A20" s="4" t="s">
        <v>44</v>
      </c>
      <c r="B20" s="4" t="n">
        <v>1423500</v>
      </c>
      <c r="C20" s="4" t="n">
        <v>30</v>
      </c>
      <c r="D20" s="4" t="n">
        <v>2</v>
      </c>
      <c r="E20" s="4" t="n">
        <v>2</v>
      </c>
      <c r="F20" s="4" t="n">
        <v>2</v>
      </c>
      <c r="G20" s="4" t="n">
        <v>2</v>
      </c>
      <c r="H20" s="4" t="n">
        <v>5</v>
      </c>
      <c r="I20" s="4" t="n">
        <v>5</v>
      </c>
      <c r="J20" s="5"/>
      <c r="K20" s="6" t="n">
        <f aca="false">ROUND((B20/220),2)</f>
        <v>6470.45</v>
      </c>
      <c r="L20" s="6" t="n">
        <f aca="false">ROUND(((B20/30)*C20),2)</f>
        <v>1423500</v>
      </c>
      <c r="M20" s="6" t="n">
        <f aca="false">ROUND((IF(B20&lt;=2847000,200000,0)*(C20/30)),2)</f>
        <v>200000</v>
      </c>
      <c r="N20" s="6" t="n">
        <f aca="false">ROUND(((B20/220)*(1+0.25)*D20),2)</f>
        <v>16176.14</v>
      </c>
      <c r="O20" s="6" t="n">
        <f aca="false">ROUND(((B20/220)*(1+0.75)*E20),2)</f>
        <v>22646.59</v>
      </c>
      <c r="P20" s="6" t="n">
        <f aca="false">ROUND(((B20/220)*(1+1)*F20),2)</f>
        <v>25881.82</v>
      </c>
      <c r="Q20" s="6" t="n">
        <f aca="false">ROUND(((B20/220)*(1+1.5)*G20),2)</f>
        <v>32352.27</v>
      </c>
      <c r="R20" s="6" t="n">
        <f aca="false">ROUND(((B20/220)*0.35*H20),2)</f>
        <v>11323.3</v>
      </c>
      <c r="S20" s="6" t="n">
        <f aca="false">ROUND(((B20/220)*0.75*I20),2)</f>
        <v>24264.2</v>
      </c>
      <c r="T20" s="6" t="n">
        <f aca="false">ROUND((((B20/30)*C20)+((B20/220)*(1+0.25)*D20)+((B20/220)*(1+0.75)*E20)+((B20/220)*(1+1)*F20)+((B20/220)*(1+1.5)*G20)+((B20/220)*0.35*H20)+((B20/220)*0.75*I20)),2)</f>
        <v>1556144.32</v>
      </c>
      <c r="U20" s="6" t="n">
        <f aca="false">ROUND(((((B20/30)*C20)+((B20/220)*(1+0.25)*D20)+((B20/220)*(1+0.75)*E20)+((B20/220)*(1+1)*F20)+((B20/220)*(1+1.5)*G20)+((B20/220)*0.35*H20)+((B20/220)*0.75*I20))*0.04),2)</f>
        <v>62245.77</v>
      </c>
      <c r="V20" s="6" t="n">
        <f aca="false">ROUND(((((B20/30)*C20)+((B20/220)*(1+0.25)*D20)+((B20/220)*(1+0.75)*E20)+((B20/220)*(1+1)*F20)+((B20/220)*(1+1.5)*G20)+((B20/220)*0.35*H20)+((B20/220)*0.75*I20))*0.04),2)</f>
        <v>62245.77</v>
      </c>
      <c r="W20" s="6" t="n">
        <f aca="false">ROUND((((B20/30)*C20)+(IF(B20&lt;=2847000,200000,0)*(C20/30))+((B20/220)*(1+0.25)*D20)+((B20/220)*(1+0.75)*E20)+((B20/220)*(1+1)*F20)+((B20/220)*(1+1.5)*G20)+((B20/220)*0.35*H20)+((B20/220)*0.75*I20)),2)</f>
        <v>1756144.32</v>
      </c>
      <c r="X20" s="6" t="n">
        <f aca="false">ROUND((((((B20/30)*C20)+((B20/220)*(1+0.25)*D20)+((B20/220)*(1+0.75)*E20)+((B20/220)*(1+1)*F20)+((B20/220)*(1+1.5)*G20)+((B20/220)*0.35*H20)+((B20/220)*0.75*I20))*0.04)+((((B20/30)*C20)+((B20/220)*(1+0.25)*D20)+((B20/220)*(1+0.75)*E20)+((B20/220)*(1+1)*F20)+((B20/220)*(1+1.5)*G20)+((B20/220)*0.35*H20)+((B20/220)*0.75*I20))*0.04)),2)</f>
        <v>124491.55</v>
      </c>
      <c r="Y20" s="6" t="n">
        <f aca="false">ROUND(((((B20/30)*C20)+(IF(B20&lt;=2847000,200000,0)*(C20/30))+((B20/220)*(1+0.25)*D20)+((B20/220)*(1+0.75)*E20)+((B20/220)*(1+1)*F20)+((B20/220)*(1+1.5)*G20)+((B20/220)*0.35*H20)+((B20/220)*0.75*I20))-(((((B20/30)*C20)+((B20/220)*(1+0.25)*D20)+((B20/220)*(1+0.75)*E20)+((B20/220)*(1+1)*F20)+((B20/220)*(1+1.5)*G20)+((B20/220)*0.35*H20)+((B20/220)*0.75*I20))*0.04)+((((B20/30)*C20)+((B20/220)*(1+0.25)*D20)+((B20/220)*(1+0.75)*E20)+((B20/220)*(1+1)*F20)+((B20/220)*(1+1.5)*G20)+((B20/220)*0.35*H20)+((B20/220)*0.75*I20))*0.04))),2)</f>
        <v>1631652.77</v>
      </c>
    </row>
    <row r="21" customFormat="false" ht="15" hidden="false" customHeight="false" outlineLevel="0" collapsed="false">
      <c r="A21" s="4" t="s">
        <v>45</v>
      </c>
      <c r="B21" s="4" t="n">
        <v>1423500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/>
      <c r="K21" s="6" t="n">
        <f aca="false">ROUND((B21/220),2)</f>
        <v>6470.45</v>
      </c>
      <c r="L21" s="6" t="n">
        <f aca="false">ROUND(((B21/30)*C21),2)</f>
        <v>0</v>
      </c>
      <c r="M21" s="6" t="n">
        <f aca="false">ROUND((IF(B21&lt;=2847000,200000,0)*(C21/30)),2)</f>
        <v>0</v>
      </c>
      <c r="N21" s="6" t="n">
        <f aca="false">ROUND(((B21/220)*(1+0.25)*D21),2)</f>
        <v>0</v>
      </c>
      <c r="O21" s="6" t="n">
        <f aca="false">ROUND(((B21/220)*(1+0.75)*E21),2)</f>
        <v>0</v>
      </c>
      <c r="P21" s="6" t="n">
        <f aca="false">ROUND(((B21/220)*(1+1)*F21),2)</f>
        <v>0</v>
      </c>
      <c r="Q21" s="6" t="n">
        <f aca="false">ROUND(((B21/220)*(1+1.5)*G21),2)</f>
        <v>0</v>
      </c>
      <c r="R21" s="6" t="n">
        <f aca="false">ROUND(((B21/220)*0.35*H21),2)</f>
        <v>0</v>
      </c>
      <c r="S21" s="6" t="n">
        <f aca="false">ROUND(((B21/220)*0.75*I21),2)</f>
        <v>0</v>
      </c>
      <c r="T21" s="6" t="n">
        <f aca="false">ROUND((((B21/30)*C21)+((B21/220)*(1+0.25)*D21)+((B21/220)*(1+0.75)*E21)+((B21/220)*(1+1)*F21)+((B21/220)*(1+1.5)*G21)+((B21/220)*0.35*H21)+((B21/220)*0.75*I21)),2)</f>
        <v>0</v>
      </c>
      <c r="U21" s="6" t="n">
        <f aca="false">ROUND(((((B21/30)*C21)+((B21/220)*(1+0.25)*D21)+((B21/220)*(1+0.75)*E21)+((B21/220)*(1+1)*F21)+((B21/220)*(1+1.5)*G21)+((B21/220)*0.35*H21)+((B21/220)*0.75*I21))*0.04),2)</f>
        <v>0</v>
      </c>
      <c r="V21" s="6" t="n">
        <f aca="false">ROUND(((((B21/30)*C21)+((B21/220)*(1+0.25)*D21)+((B21/220)*(1+0.75)*E21)+((B21/220)*(1+1)*F21)+((B21/220)*(1+1.5)*G21)+((B21/220)*0.35*H21)+((B21/220)*0.75*I21))*0.04),2)</f>
        <v>0</v>
      </c>
      <c r="W21" s="6" t="n">
        <f aca="false">ROUND((((B21/30)*C21)+(IF(B21&lt;=2847000,200000,0)*(C21/30))+((B21/220)*(1+0.25)*D21)+((B21/220)*(1+0.75)*E21)+((B21/220)*(1+1)*F21)+((B21/220)*(1+1.5)*G21)+((B21/220)*0.35*H21)+((B21/220)*0.75*I21)),2)</f>
        <v>0</v>
      </c>
      <c r="X21" s="6" t="n">
        <f aca="false">ROUND((((((B21/30)*C21)+((B21/220)*(1+0.25)*D21)+((B21/220)*(1+0.75)*E21)+((B21/220)*(1+1)*F21)+((B21/220)*(1+1.5)*G21)+((B21/220)*0.35*H21)+((B21/220)*0.75*I21))*0.04)+((((B21/30)*C21)+((B21/220)*(1+0.25)*D21)+((B21/220)*(1+0.75)*E21)+((B21/220)*(1+1)*F21)+((B21/220)*(1+1.5)*G21)+((B21/220)*0.35*H21)+((B21/220)*0.75*I21))*0.04)),2)</f>
        <v>0</v>
      </c>
      <c r="Y21" s="6" t="n">
        <f aca="false">ROUND(((((B21/30)*C21)+(IF(B21&lt;=2847000,200000,0)*(C21/30))+((B21/220)*(1+0.25)*D21)+((B21/220)*(1+0.75)*E21)+((B21/220)*(1+1)*F21)+((B21/220)*(1+1.5)*G21)+((B21/220)*0.35*H21)+((B21/220)*0.75*I21))-(((((B21/30)*C21)+((B21/220)*(1+0.25)*D21)+((B21/220)*(1+0.75)*E21)+((B21/220)*(1+1)*F21)+((B21/220)*(1+1.5)*G21)+((B21/220)*0.35*H21)+((B21/220)*0.75*I21))*0.04)+((((B21/30)*C21)+((B21/220)*(1+0.25)*D21)+((B21/220)*(1+0.75)*E21)+((B21/220)*(1+1)*F21)+((B21/220)*(1+1.5)*G21)+((B21/220)*0.35*H21)+((B21/220)*0.75*I21))*0.04))),2)</f>
        <v>0</v>
      </c>
    </row>
  </sheetData>
  <mergeCells count="5">
    <mergeCell ref="B1:Y1"/>
    <mergeCell ref="B2:I2"/>
    <mergeCell ref="K2:Y2"/>
    <mergeCell ref="B10:Y10"/>
    <mergeCell ref="B17:Y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2026-08-29T02:58:23Z</dcterms:created>
  <dc:creator>openpyxl</dc:creator>
  <dc:description/>
  <dc:language>en-US</dc:language>
  <cp:lastModifiedBy/>
  <dcterms:modified xsi:type="dcterms:W3CDTF">2026-08-29T02:58:23Z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